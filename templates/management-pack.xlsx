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P&amp;L" sheetId="2" state="visible" r:id="rId2"/>
    <sheet name="Balance Sheet" sheetId="3" state="visible" r:id="rId3"/>
    <sheet name="Commentary" sheetId="4" state="visible" r:id="rId4"/>
    <sheet name="Exceptions" sheetId="5" state="visible" r:id="rId5"/>
    <sheet name="Chec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;(0.0%);&quot;-&quot;"/>
  </numFmts>
  <fonts count="6">
    <font>
      <name val="Calibri"/>
      <family val="2"/>
      <color theme="1"/>
      <sz val="11"/>
      <scheme val="minor"/>
    </font>
    <font>
      <b val="1"/>
      <color rgb="001F3A5F"/>
      <sz val="20"/>
    </font>
    <font>
      <sz val="14"/>
    </font>
    <font>
      <b val="1"/>
      <color rgb="001F3A5F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top style="thin"/>
      <bottom style="double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0" fillId="2" borderId="0" pivotButton="0" quotePrefix="0" xfId="0"/>
    <xf numFmtId="0" fontId="4" fillId="2" borderId="0" applyAlignment="1" pivotButton="0" quotePrefix="0" xfId="0">
      <alignment horizontal="right"/>
    </xf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164" fontId="5" fillId="0" borderId="1" pivotButton="0" quotePrefix="0" xfId="0"/>
    <xf numFmtId="165" fontId="5" fillId="0" borderId="1" pivotButton="0" quotePrefix="0" xfId="0"/>
    <xf numFmtId="0" fontId="0" fillId="0" borderId="0" applyAlignment="1" pivotButton="0" quotePrefix="0" xfId="0">
      <alignment vertical="top" wrapText="1"/>
    </xf>
    <xf numFmtId="0" fontId="4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2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{{client_name}}</t>
        </is>
      </c>
    </row>
    <row r="4">
      <c r="B4" s="2" t="inlineStr">
        <is>
          <t>Management accounts for {{period_label}}</t>
        </is>
      </c>
    </row>
    <row r="6">
      <c r="B6" t="inlineStr">
        <is>
          <t>Currency: {{currency}}</t>
        </is>
      </c>
    </row>
    <row r="7">
      <c r="B7" t="inlineStr">
        <is>
          <t>Prepared: {{prepared_at}}</t>
        </is>
      </c>
    </row>
    <row r="8">
      <c r="B8" t="inlineStr">
        <is>
          <t>Preparation reference: {{run_id}}</t>
        </is>
      </c>
    </row>
    <row r="10">
      <c r="B10" t="inlineStr">
        <is>
          <t>Contents: Profit and loss, Balance sheet, Commentary, Exceptions, Checks</t>
        </is>
      </c>
    </row>
    <row r="12">
      <c r="B12" s="3" t="inlineStr">
        <is>
          <t>Basis of preparation: unaudited management accounts prepared from the Xero general ledger. Budget figures are the board-approved budget held in Xero.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1" max="1"/>
    <col width="4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B1" s="4" t="inlineStr">
        <is>
          <t>{{client_name}}</t>
        </is>
      </c>
    </row>
    <row r="2">
      <c r="B2" t="inlineStr">
        <is>
          <t>Profit and loss - {{period_label}} ({{currency}})</t>
        </is>
      </c>
    </row>
    <row r="3" hidden="1">
      <c r="A3" t="inlineStr">
        <is>
          <t>#keys</t>
        </is>
      </c>
      <c r="C3" t="inlineStr">
        <is>
          <t>month_actual</t>
        </is>
      </c>
      <c r="D3" t="inlineStr">
        <is>
          <t>month_budget</t>
        </is>
      </c>
      <c r="E3" t="inlineStr">
        <is>
          <t>month_var</t>
        </is>
      </c>
      <c r="F3" t="inlineStr">
        <is>
          <t>month_var_pct</t>
        </is>
      </c>
      <c r="G3" t="inlineStr">
        <is>
          <t>prior_month</t>
        </is>
      </c>
      <c r="H3" t="inlineStr">
        <is>
          <t>ytd_actual</t>
        </is>
      </c>
      <c r="I3" t="inlineStr">
        <is>
          <t>ytd_budget</t>
        </is>
      </c>
      <c r="J3" t="inlineStr">
        <is>
          <t>ytd_var</t>
        </is>
      </c>
    </row>
    <row r="4">
      <c r="B4" s="5" t="inlineStr"/>
      <c r="C4" s="6" t="inlineStr">
        <is>
          <t>Actual</t>
        </is>
      </c>
      <c r="D4" s="6" t="inlineStr">
        <is>
          <t>Budget</t>
        </is>
      </c>
      <c r="E4" s="6" t="inlineStr">
        <is>
          <t>Variance</t>
        </is>
      </c>
      <c r="F4" s="6" t="inlineStr">
        <is>
          <t>Var %</t>
        </is>
      </c>
      <c r="G4" s="6" t="inlineStr">
        <is>
          <t>Prior month</t>
        </is>
      </c>
      <c r="H4" s="6" t="inlineStr">
        <is>
          <t>YTD actual</t>
        </is>
      </c>
      <c r="I4" s="6" t="inlineStr">
        <is>
          <t>YTD budget</t>
        </is>
      </c>
      <c r="J4" s="6" t="inlineStr">
        <is>
          <t>YTD variance</t>
        </is>
      </c>
    </row>
    <row r="5">
      <c r="A5" t="inlineStr">
        <is>
          <t>pl.rev.contract</t>
        </is>
      </c>
      <c r="B5" t="inlineStr">
        <is>
          <t>Fitout contract revenue</t>
        </is>
      </c>
      <c r="C5" s="7" t="n"/>
      <c r="D5" s="7" t="n"/>
      <c r="E5" s="7" t="n"/>
      <c r="F5" s="8" t="n"/>
      <c r="G5" s="7" t="n"/>
      <c r="H5" s="7" t="n"/>
      <c r="I5" s="7" t="n"/>
      <c r="J5" s="7" t="n"/>
    </row>
    <row r="6">
      <c r="A6" t="inlineStr">
        <is>
          <t>pl.rev.products</t>
        </is>
      </c>
      <c r="B6" t="inlineStr">
        <is>
          <t>Joinery product sales</t>
        </is>
      </c>
      <c r="C6" s="7" t="n"/>
      <c r="D6" s="7" t="n"/>
      <c r="E6" s="7" t="n"/>
      <c r="F6" s="8" t="n"/>
      <c r="G6" s="7" t="n"/>
      <c r="H6" s="7" t="n"/>
      <c r="I6" s="7" t="n"/>
      <c r="J6" s="7" t="n"/>
    </row>
    <row r="7">
      <c r="A7" t="inlineStr">
        <is>
          <t>pl.rev.total</t>
        </is>
      </c>
      <c r="B7" s="9" t="inlineStr">
        <is>
          <t>Total revenue</t>
        </is>
      </c>
      <c r="C7" s="10" t="n"/>
      <c r="D7" s="10" t="n"/>
      <c r="E7" s="10" t="n"/>
      <c r="F7" s="11" t="n"/>
      <c r="G7" s="10" t="n"/>
      <c r="H7" s="10" t="n"/>
      <c r="I7" s="10" t="n"/>
      <c r="J7" s="10" t="n"/>
    </row>
    <row r="9">
      <c r="A9" t="inlineStr">
        <is>
          <t>pl.cos.materials</t>
        </is>
      </c>
      <c r="B9" t="inlineStr">
        <is>
          <t>Materials</t>
        </is>
      </c>
      <c r="C9" s="7" t="n"/>
      <c r="D9" s="7" t="n"/>
      <c r="E9" s="7" t="n"/>
      <c r="F9" s="8" t="n"/>
      <c r="G9" s="7" t="n"/>
      <c r="H9" s="7" t="n"/>
      <c r="I9" s="7" t="n"/>
      <c r="J9" s="7" t="n"/>
    </row>
    <row r="10">
      <c r="A10" t="inlineStr">
        <is>
          <t>pl.cos.subcontractors</t>
        </is>
      </c>
      <c r="B10" t="inlineStr">
        <is>
          <t>Subcontractors</t>
        </is>
      </c>
      <c r="C10" s="7" t="n"/>
      <c r="D10" s="7" t="n"/>
      <c r="E10" s="7" t="n"/>
      <c r="F10" s="8" t="n"/>
      <c r="G10" s="7" t="n"/>
      <c r="H10" s="7" t="n"/>
      <c r="I10" s="7" t="n"/>
      <c r="J10" s="7" t="n"/>
    </row>
    <row r="11">
      <c r="A11" t="inlineStr">
        <is>
          <t>pl.cos.labour</t>
        </is>
      </c>
      <c r="B11" t="inlineStr">
        <is>
          <t>Direct labour</t>
        </is>
      </c>
      <c r="C11" s="7" t="n"/>
      <c r="D11" s="7" t="n"/>
      <c r="E11" s="7" t="n"/>
      <c r="F11" s="8" t="n"/>
      <c r="G11" s="7" t="n"/>
      <c r="H11" s="7" t="n"/>
      <c r="I11" s="7" t="n"/>
      <c r="J11" s="7" t="n"/>
    </row>
    <row r="12">
      <c r="A12" t="inlineStr">
        <is>
          <t>pl.cos.total</t>
        </is>
      </c>
      <c r="B12" s="9" t="inlineStr">
        <is>
          <t>Total cost of sales</t>
        </is>
      </c>
      <c r="C12" s="10" t="n"/>
      <c r="D12" s="10" t="n"/>
      <c r="E12" s="10" t="n"/>
      <c r="F12" s="11" t="n"/>
      <c r="G12" s="10" t="n"/>
      <c r="H12" s="10" t="n"/>
      <c r="I12" s="10" t="n"/>
      <c r="J12" s="10" t="n"/>
    </row>
    <row r="14">
      <c r="A14" t="inlineStr">
        <is>
          <t>pl.gross_profit</t>
        </is>
      </c>
      <c r="B14" s="9" t="inlineStr">
        <is>
          <t>Gross profit</t>
        </is>
      </c>
      <c r="C14" s="10" t="n"/>
      <c r="D14" s="10" t="n"/>
      <c r="E14" s="10" t="n"/>
      <c r="F14" s="11" t="n"/>
      <c r="G14" s="10" t="n"/>
      <c r="H14" s="10" t="n"/>
      <c r="I14" s="10" t="n"/>
      <c r="J14" s="10" t="n"/>
    </row>
    <row r="16">
      <c r="A16" t="inlineStr">
        <is>
          <t>pl.other_income</t>
        </is>
      </c>
      <c r="B16" t="inlineStr">
        <is>
          <t>Other income</t>
        </is>
      </c>
      <c r="C16" s="7" t="n"/>
      <c r="D16" s="7" t="n"/>
      <c r="E16" s="7" t="n"/>
      <c r="F16" s="8" t="n"/>
      <c r="G16" s="7" t="n"/>
      <c r="H16" s="7" t="n"/>
      <c r="I16" s="7" t="n"/>
      <c r="J16" s="7" t="n"/>
    </row>
    <row r="17">
      <c r="A17" t="inlineStr">
        <is>
          <t>pl.opex.salaries</t>
        </is>
      </c>
      <c r="B17" t="inlineStr">
        <is>
          <t>Administration salaries and on-costs</t>
        </is>
      </c>
      <c r="C17" s="7" t="n"/>
      <c r="D17" s="7" t="n"/>
      <c r="E17" s="7" t="n"/>
      <c r="F17" s="8" t="n"/>
      <c r="G17" s="7" t="n"/>
      <c r="H17" s="7" t="n"/>
      <c r="I17" s="7" t="n"/>
      <c r="J17" s="7" t="n"/>
    </row>
    <row r="18">
      <c r="A18" t="inlineStr">
        <is>
          <t>pl.opex.occupancy</t>
        </is>
      </c>
      <c r="B18" t="inlineStr">
        <is>
          <t>Occupancy</t>
        </is>
      </c>
      <c r="C18" s="7" t="n"/>
      <c r="D18" s="7" t="n"/>
      <c r="E18" s="7" t="n"/>
      <c r="F18" s="8" t="n"/>
      <c r="G18" s="7" t="n"/>
      <c r="H18" s="7" t="n"/>
      <c r="I18" s="7" t="n"/>
      <c r="J18" s="7" t="n"/>
    </row>
    <row r="19">
      <c r="A19" t="inlineStr">
        <is>
          <t>pl.opex.marketing</t>
        </is>
      </c>
      <c r="B19" t="inlineStr">
        <is>
          <t>Marketing</t>
        </is>
      </c>
      <c r="C19" s="7" t="n"/>
      <c r="D19" s="7" t="n"/>
      <c r="E19" s="7" t="n"/>
      <c r="F19" s="8" t="n"/>
      <c r="G19" s="7" t="n"/>
      <c r="H19" s="7" t="n"/>
      <c r="I19" s="7" t="n"/>
      <c r="J19" s="7" t="n"/>
    </row>
    <row r="20">
      <c r="A20" t="inlineStr">
        <is>
          <t>pl.opex.motor</t>
        </is>
      </c>
      <c r="B20" t="inlineStr">
        <is>
          <t>Motor vehicles</t>
        </is>
      </c>
      <c r="C20" s="7" t="n"/>
      <c r="D20" s="7" t="n"/>
      <c r="E20" s="7" t="n"/>
      <c r="F20" s="8" t="n"/>
      <c r="G20" s="7" t="n"/>
      <c r="H20" s="7" t="n"/>
      <c r="I20" s="7" t="n"/>
      <c r="J20" s="7" t="n"/>
    </row>
    <row r="21">
      <c r="A21" t="inlineStr">
        <is>
          <t>pl.opex.insurance</t>
        </is>
      </c>
      <c r="B21" t="inlineStr">
        <is>
          <t>Insurance</t>
        </is>
      </c>
      <c r="C21" s="7" t="n"/>
      <c r="D21" s="7" t="n"/>
      <c r="E21" s="7" t="n"/>
      <c r="F21" s="8" t="n"/>
      <c r="G21" s="7" t="n"/>
      <c r="H21" s="7" t="n"/>
      <c r="I21" s="7" t="n"/>
      <c r="J21" s="7" t="n"/>
    </row>
    <row r="22">
      <c r="A22" t="inlineStr">
        <is>
          <t>pl.opex.admin</t>
        </is>
      </c>
      <c r="B22" t="inlineStr">
        <is>
          <t>Administration and professional fees</t>
        </is>
      </c>
      <c r="C22" s="7" t="n"/>
      <c r="D22" s="7" t="n"/>
      <c r="E22" s="7" t="n"/>
      <c r="F22" s="8" t="n"/>
      <c r="G22" s="7" t="n"/>
      <c r="H22" s="7" t="n"/>
      <c r="I22" s="7" t="n"/>
      <c r="J22" s="7" t="n"/>
    </row>
    <row r="23">
      <c r="A23" t="inlineStr">
        <is>
          <t>pl.opex.depreciation</t>
        </is>
      </c>
      <c r="B23" t="inlineStr">
        <is>
          <t>Depreciation</t>
        </is>
      </c>
      <c r="C23" s="7" t="n"/>
      <c r="D23" s="7" t="n"/>
      <c r="E23" s="7" t="n"/>
      <c r="F23" s="8" t="n"/>
      <c r="G23" s="7" t="n"/>
      <c r="H23" s="7" t="n"/>
      <c r="I23" s="7" t="n"/>
      <c r="J23" s="7" t="n"/>
    </row>
    <row r="24">
      <c r="A24" t="inlineStr">
        <is>
          <t>pl.opex.other</t>
        </is>
      </c>
      <c r="B24" t="inlineStr">
        <is>
          <t>Other operating expenses</t>
        </is>
      </c>
      <c r="C24" s="7" t="n"/>
      <c r="D24" s="7" t="n"/>
      <c r="E24" s="7" t="n"/>
      <c r="F24" s="8" t="n"/>
      <c r="G24" s="7" t="n"/>
      <c r="H24" s="7" t="n"/>
      <c r="I24" s="7" t="n"/>
      <c r="J24" s="7" t="n"/>
    </row>
    <row r="25">
      <c r="A25" t="inlineStr">
        <is>
          <t>pl.opex.total</t>
        </is>
      </c>
      <c r="B25" s="9" t="inlineStr">
        <is>
          <t>Total operating expenses</t>
        </is>
      </c>
      <c r="C25" s="10" t="n"/>
      <c r="D25" s="10" t="n"/>
      <c r="E25" s="10" t="n"/>
      <c r="F25" s="11" t="n"/>
      <c r="G25" s="10" t="n"/>
      <c r="H25" s="10" t="n"/>
      <c r="I25" s="10" t="n"/>
      <c r="J25" s="10" t="n"/>
    </row>
    <row r="27">
      <c r="A27" t="inlineStr">
        <is>
          <t>pl.ebit</t>
        </is>
      </c>
      <c r="B27" s="9" t="inlineStr">
        <is>
          <t>Operating profit (EBIT)</t>
        </is>
      </c>
      <c r="C27" s="10" t="n"/>
      <c r="D27" s="10" t="n"/>
      <c r="E27" s="10" t="n"/>
      <c r="F27" s="11" t="n"/>
      <c r="G27" s="10" t="n"/>
      <c r="H27" s="10" t="n"/>
      <c r="I27" s="10" t="n"/>
      <c r="J27" s="10" t="n"/>
    </row>
    <row r="29">
      <c r="A29" t="inlineStr">
        <is>
          <t>pl.finance_costs</t>
        </is>
      </c>
      <c r="B29" t="inlineStr">
        <is>
          <t>Finance costs</t>
        </is>
      </c>
      <c r="C29" s="7" t="n"/>
      <c r="D29" s="7" t="n"/>
      <c r="E29" s="7" t="n"/>
      <c r="F29" s="8" t="n"/>
      <c r="G29" s="7" t="n"/>
      <c r="H29" s="7" t="n"/>
      <c r="I29" s="7" t="n"/>
      <c r="J29" s="7" t="n"/>
    </row>
    <row r="30">
      <c r="A30" t="inlineStr">
        <is>
          <t>pl.net_profit</t>
        </is>
      </c>
      <c r="B30" s="9" t="inlineStr">
        <is>
          <t>Net profit before tax</t>
        </is>
      </c>
      <c r="C30" s="10" t="n"/>
      <c r="D30" s="10" t="n"/>
      <c r="E30" s="10" t="n"/>
      <c r="F30" s="11" t="n"/>
      <c r="G30" s="10" t="n"/>
      <c r="H30" s="10" t="n"/>
      <c r="I30" s="10" t="n"/>
      <c r="J30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1" max="1"/>
    <col width="42" customWidth="1" min="2" max="2"/>
    <col width="14" customWidth="1" min="3" max="3"/>
    <col width="14" customWidth="1" min="4" max="4"/>
    <col width="14" customWidth="1" min="5" max="5"/>
  </cols>
  <sheetData>
    <row r="1">
      <c r="B1" s="4" t="inlineStr">
        <is>
          <t>{{client_name}}</t>
        </is>
      </c>
    </row>
    <row r="2">
      <c r="B2" t="inlineStr">
        <is>
          <t>Balance sheet as at end of {{period_label}} ({{currency}})</t>
        </is>
      </c>
    </row>
    <row r="3" hidden="1">
      <c r="A3" t="inlineStr">
        <is>
          <t>#keys</t>
        </is>
      </c>
      <c r="C3" t="inlineStr">
        <is>
          <t>closing</t>
        </is>
      </c>
      <c r="D3" t="inlineStr">
        <is>
          <t>prior_closing</t>
        </is>
      </c>
      <c r="E3" t="inlineStr">
        <is>
          <t>movement</t>
        </is>
      </c>
    </row>
    <row r="4">
      <c r="B4" s="5" t="inlineStr"/>
      <c r="C4" s="6" t="inlineStr">
        <is>
          <t>This month</t>
        </is>
      </c>
      <c r="D4" s="6" t="inlineStr">
        <is>
          <t>Prior month</t>
        </is>
      </c>
      <c r="E4" s="6" t="inlineStr">
        <is>
          <t>Movement</t>
        </is>
      </c>
    </row>
    <row r="5">
      <c r="A5" t="inlineStr">
        <is>
          <t>bs.cash</t>
        </is>
      </c>
      <c r="B5" t="inlineStr">
        <is>
          <t>Cash at bank</t>
        </is>
      </c>
      <c r="C5" s="7" t="n"/>
      <c r="D5" s="7" t="n"/>
      <c r="E5" s="7" t="n"/>
    </row>
    <row r="6">
      <c r="A6" t="inlineStr">
        <is>
          <t>bs.receivables</t>
        </is>
      </c>
      <c r="B6" t="inlineStr">
        <is>
          <t>Trade receivables</t>
        </is>
      </c>
      <c r="C6" s="7" t="n"/>
      <c r="D6" s="7" t="n"/>
      <c r="E6" s="7" t="n"/>
    </row>
    <row r="7">
      <c r="A7" t="inlineStr">
        <is>
          <t>bs.inventory</t>
        </is>
      </c>
      <c r="B7" t="inlineStr">
        <is>
          <t>Inventory</t>
        </is>
      </c>
      <c r="C7" s="7" t="n"/>
      <c r="D7" s="7" t="n"/>
      <c r="E7" s="7" t="n"/>
    </row>
    <row r="8">
      <c r="A8" t="inlineStr">
        <is>
          <t>bs.other_current</t>
        </is>
      </c>
      <c r="B8" t="inlineStr">
        <is>
          <t>Prepayments and other current assets</t>
        </is>
      </c>
      <c r="C8" s="7" t="n"/>
      <c r="D8" s="7" t="n"/>
      <c r="E8" s="7" t="n"/>
    </row>
    <row r="9">
      <c r="A9" t="inlineStr">
        <is>
          <t>bs.ppe</t>
        </is>
      </c>
      <c r="B9" t="inlineStr">
        <is>
          <t>Plant and equipment (net)</t>
        </is>
      </c>
      <c r="C9" s="7" t="n"/>
      <c r="D9" s="7" t="n"/>
      <c r="E9" s="7" t="n"/>
    </row>
    <row r="10">
      <c r="A10" t="inlineStr">
        <is>
          <t>bs.total_assets</t>
        </is>
      </c>
      <c r="B10" s="9" t="inlineStr">
        <is>
          <t>Total assets</t>
        </is>
      </c>
      <c r="C10" s="10" t="n"/>
      <c r="D10" s="10" t="n"/>
      <c r="E10" s="10" t="n"/>
    </row>
    <row r="12">
      <c r="A12" t="inlineStr">
        <is>
          <t>bs.payables</t>
        </is>
      </c>
      <c r="B12" t="inlineStr">
        <is>
          <t>Trade payables</t>
        </is>
      </c>
      <c r="C12" s="7" t="n"/>
      <c r="D12" s="7" t="n"/>
      <c r="E12" s="7" t="n"/>
    </row>
    <row r="13">
      <c r="A13" t="inlineStr">
        <is>
          <t>bs.tax</t>
        </is>
      </c>
      <c r="B13" t="inlineStr">
        <is>
          <t>GST and PAYG payable</t>
        </is>
      </c>
      <c r="C13" s="7" t="n"/>
      <c r="D13" s="7" t="n"/>
      <c r="E13" s="7" t="n"/>
    </row>
    <row r="14">
      <c r="A14" t="inlineStr">
        <is>
          <t>bs.accruals</t>
        </is>
      </c>
      <c r="B14" t="inlineStr">
        <is>
          <t>Accrued expenses</t>
        </is>
      </c>
      <c r="C14" s="7" t="n"/>
      <c r="D14" s="7" t="n"/>
      <c r="E14" s="7" t="n"/>
    </row>
    <row r="15">
      <c r="A15" t="inlineStr">
        <is>
          <t>bs.employee</t>
        </is>
      </c>
      <c r="B15" t="inlineStr">
        <is>
          <t>Employee entitlements</t>
        </is>
      </c>
      <c r="C15" s="7" t="n"/>
      <c r="D15" s="7" t="n"/>
      <c r="E15" s="7" t="n"/>
    </row>
    <row r="16">
      <c r="A16" t="inlineStr">
        <is>
          <t>bs.borrowings</t>
        </is>
      </c>
      <c r="B16" t="inlineStr">
        <is>
          <t>Borrowings</t>
        </is>
      </c>
      <c r="C16" s="7" t="n"/>
      <c r="D16" s="7" t="n"/>
      <c r="E16" s="7" t="n"/>
    </row>
    <row r="17">
      <c r="A17" t="inlineStr">
        <is>
          <t>bs.total_liabilities</t>
        </is>
      </c>
      <c r="B17" s="9" t="inlineStr">
        <is>
          <t>Total liabilities</t>
        </is>
      </c>
      <c r="C17" s="10" t="n"/>
      <c r="D17" s="10" t="n"/>
      <c r="E17" s="10" t="n"/>
    </row>
    <row r="19">
      <c r="A19" t="inlineStr">
        <is>
          <t>bs.net_assets</t>
        </is>
      </c>
      <c r="B19" s="9" t="inlineStr">
        <is>
          <t>Net assets</t>
        </is>
      </c>
      <c r="C19" s="10" t="n"/>
      <c r="D19" s="10" t="n"/>
      <c r="E19" s="10" t="n"/>
    </row>
    <row r="21">
      <c r="A21" t="inlineStr">
        <is>
          <t>bs.share_capital</t>
        </is>
      </c>
      <c r="B21" t="inlineStr">
        <is>
          <t>Share capital</t>
        </is>
      </c>
      <c r="C21" s="7" t="n"/>
      <c r="D21" s="7" t="n"/>
      <c r="E21" s="7" t="n"/>
    </row>
    <row r="22">
      <c r="A22" t="inlineStr">
        <is>
          <t>bs.retained_earnings</t>
        </is>
      </c>
      <c r="B22" t="inlineStr">
        <is>
          <t>Retained earnings (opening)</t>
        </is>
      </c>
      <c r="C22" s="7" t="n"/>
      <c r="D22" s="7" t="n"/>
      <c r="E22" s="7" t="n"/>
    </row>
    <row r="23">
      <c r="A23" t="inlineStr">
        <is>
          <t>bs.current_earnings</t>
        </is>
      </c>
      <c r="B23" t="inlineStr">
        <is>
          <t>Current year earnings</t>
        </is>
      </c>
      <c r="C23" s="7" t="n"/>
      <c r="D23" s="7" t="n"/>
      <c r="E23" s="7" t="n"/>
    </row>
    <row r="24">
      <c r="A24" t="inlineStr">
        <is>
          <t>bs.total_equity</t>
        </is>
      </c>
      <c r="B24" s="9" t="inlineStr">
        <is>
          <t>Total equity</t>
        </is>
      </c>
      <c r="C24" s="10" t="n"/>
      <c r="D24" s="10" t="n"/>
      <c r="E24" s="1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13" customWidth="1" min="3" max="3"/>
    <col width="13" customWidth="1" min="4" max="4"/>
    <col width="13" customWidth="1" min="5" max="5"/>
    <col width="90" customWidth="1" min="6" max="6"/>
    <col width="40" customWidth="1" min="7" max="7"/>
  </cols>
  <sheetData>
    <row r="1">
      <c r="B1" s="4" t="inlineStr">
        <is>
          <t>Commentary on material budget variances</t>
        </is>
      </c>
    </row>
    <row r="4">
      <c r="A4" t="inlineStr">
        <is>
          <t>Summary</t>
        </is>
      </c>
      <c r="B4" s="12" t="n"/>
    </row>
    <row r="5">
      <c r="A5" s="13" t="inlineStr">
        <is>
          <t>Key</t>
        </is>
      </c>
      <c r="B5" s="13" t="inlineStr">
        <is>
          <t>Line</t>
        </is>
      </c>
      <c r="C5" s="13" t="inlineStr">
        <is>
          <t>Actual</t>
        </is>
      </c>
      <c r="D5" s="13" t="inlineStr">
        <is>
          <t>Budget</t>
        </is>
      </c>
      <c r="E5" s="13" t="inlineStr">
        <is>
          <t>Variance</t>
        </is>
      </c>
      <c r="F5" s="13" t="inlineStr">
        <is>
          <t>Commentary</t>
        </is>
      </c>
      <c r="G5" s="13" t="inlineStr">
        <is>
          <t>Evidence</t>
        </is>
      </c>
    </row>
    <row r="6">
      <c r="C6" s="7" t="n"/>
      <c r="D6" s="7" t="n"/>
      <c r="E6" s="7" t="n"/>
      <c r="F6" s="12" t="n"/>
    </row>
    <row r="7">
      <c r="C7" s="7" t="n"/>
      <c r="D7" s="7" t="n"/>
      <c r="E7" s="7" t="n"/>
      <c r="F7" s="12" t="n"/>
    </row>
    <row r="8">
      <c r="C8" s="7" t="n"/>
      <c r="D8" s="7" t="n"/>
      <c r="E8" s="7" t="n"/>
      <c r="F8" s="12" t="n"/>
    </row>
    <row r="9">
      <c r="C9" s="7" t="n"/>
      <c r="D9" s="7" t="n"/>
      <c r="E9" s="7" t="n"/>
      <c r="F9" s="12" t="n"/>
    </row>
    <row r="10">
      <c r="C10" s="7" t="n"/>
      <c r="D10" s="7" t="n"/>
      <c r="E10" s="7" t="n"/>
      <c r="F10" s="12" t="n"/>
    </row>
    <row r="11">
      <c r="C11" s="7" t="n"/>
      <c r="D11" s="7" t="n"/>
      <c r="E11" s="7" t="n"/>
      <c r="F11" s="12" t="n"/>
    </row>
    <row r="12">
      <c r="C12" s="7" t="n"/>
      <c r="D12" s="7" t="n"/>
      <c r="E12" s="7" t="n"/>
      <c r="F12" s="12" t="n"/>
    </row>
    <row r="13">
      <c r="C13" s="7" t="n"/>
      <c r="D13" s="7" t="n"/>
      <c r="E13" s="7" t="n"/>
      <c r="F13" s="12" t="n"/>
    </row>
    <row r="14">
      <c r="C14" s="7" t="n"/>
      <c r="D14" s="7" t="n"/>
      <c r="E14" s="7" t="n"/>
      <c r="F14" s="12" t="n"/>
    </row>
    <row r="15">
      <c r="C15" s="7" t="n"/>
      <c r="D15" s="7" t="n"/>
      <c r="E15" s="7" t="n"/>
      <c r="F15" s="12" t="n"/>
    </row>
    <row r="16">
      <c r="C16" s="7" t="n"/>
      <c r="D16" s="7" t="n"/>
      <c r="E16" s="7" t="n"/>
      <c r="F16" s="12" t="n"/>
    </row>
    <row r="17">
      <c r="C17" s="7" t="n"/>
      <c r="D17" s="7" t="n"/>
      <c r="E17" s="7" t="n"/>
      <c r="F17" s="12" t="n"/>
    </row>
    <row r="18">
      <c r="C18" s="7" t="n"/>
      <c r="D18" s="7" t="n"/>
      <c r="E18" s="7" t="n"/>
      <c r="F18" s="12" t="n"/>
    </row>
    <row r="19">
      <c r="C19" s="7" t="n"/>
      <c r="D19" s="7" t="n"/>
      <c r="E19" s="7" t="n"/>
      <c r="F19" s="12" t="n"/>
    </row>
    <row r="20">
      <c r="C20" s="7" t="n"/>
      <c r="D20" s="7" t="n"/>
      <c r="E20" s="7" t="n"/>
      <c r="F20" s="12" t="n"/>
    </row>
    <row r="21">
      <c r="C21" s="7" t="n"/>
      <c r="D21" s="7" t="n"/>
      <c r="E21" s="7" t="n"/>
      <c r="F21" s="12" t="n"/>
    </row>
    <row r="22">
      <c r="C22" s="7" t="n"/>
      <c r="D22" s="7" t="n"/>
      <c r="E22" s="7" t="n"/>
      <c r="F22" s="12" t="n"/>
    </row>
    <row r="23">
      <c r="C23" s="7" t="n"/>
      <c r="D23" s="7" t="n"/>
      <c r="E23" s="7" t="n"/>
      <c r="F23" s="12" t="n"/>
    </row>
    <row r="24">
      <c r="C24" s="7" t="n"/>
      <c r="D24" s="7" t="n"/>
      <c r="E24" s="7" t="n"/>
      <c r="F24" s="12" t="n"/>
    </row>
    <row r="25">
      <c r="C25" s="7" t="n"/>
      <c r="D25" s="7" t="n"/>
      <c r="E25" s="7" t="n"/>
      <c r="F25" s="12" t="n"/>
    </row>
    <row r="26">
      <c r="C26" s="7" t="n"/>
      <c r="D26" s="7" t="n"/>
      <c r="E26" s="7" t="n"/>
      <c r="F26" s="12" t="n"/>
    </row>
    <row r="27">
      <c r="C27" s="7" t="n"/>
      <c r="D27" s="7" t="n"/>
      <c r="E27" s="7" t="n"/>
      <c r="F27" s="12" t="n"/>
    </row>
    <row r="28">
      <c r="C28" s="7" t="n"/>
      <c r="D28" s="7" t="n"/>
      <c r="E28" s="7" t="n"/>
      <c r="F28" s="12" t="n"/>
    </row>
    <row r="29">
      <c r="C29" s="7" t="n"/>
      <c r="D29" s="7" t="n"/>
      <c r="E29" s="7" t="n"/>
      <c r="F29" s="12" t="n"/>
    </row>
    <row r="30">
      <c r="C30" s="7" t="n"/>
      <c r="D30" s="7" t="n"/>
      <c r="E30" s="7" t="n"/>
      <c r="F30" s="12" t="n"/>
    </row>
    <row r="31">
      <c r="C31" s="7" t="n"/>
      <c r="D31" s="7" t="n"/>
      <c r="E31" s="7" t="n"/>
      <c r="F31" s="12" t="n"/>
    </row>
    <row r="32">
      <c r="C32" s="7" t="n"/>
      <c r="D32" s="7" t="n"/>
      <c r="E32" s="7" t="n"/>
      <c r="F32" s="12" t="n"/>
    </row>
    <row r="33">
      <c r="C33" s="7" t="n"/>
      <c r="D33" s="7" t="n"/>
      <c r="E33" s="7" t="n"/>
      <c r="F33" s="12" t="n"/>
    </row>
    <row r="34">
      <c r="C34" s="7" t="n"/>
      <c r="D34" s="7" t="n"/>
      <c r="E34" s="7" t="n"/>
      <c r="F34" s="12" t="n"/>
    </row>
    <row r="35">
      <c r="C35" s="7" t="n"/>
      <c r="D35" s="7" t="n"/>
      <c r="E35" s="7" t="n"/>
      <c r="F35" s="12" t="n"/>
    </row>
    <row r="36">
      <c r="C36" s="7" t="n"/>
      <c r="D36" s="7" t="n"/>
      <c r="E36" s="7" t="n"/>
      <c r="F36" s="12" t="n"/>
    </row>
    <row r="37">
      <c r="C37" s="7" t="n"/>
      <c r="D37" s="7" t="n"/>
      <c r="E37" s="7" t="n"/>
      <c r="F37" s="12" t="n"/>
    </row>
    <row r="38">
      <c r="C38" s="7" t="n"/>
      <c r="D38" s="7" t="n"/>
      <c r="E38" s="7" t="n"/>
      <c r="F38" s="12" t="n"/>
    </row>
    <row r="39">
      <c r="C39" s="7" t="n"/>
      <c r="D39" s="7" t="n"/>
      <c r="E39" s="7" t="n"/>
      <c r="F39" s="1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2" max="2"/>
    <col width="110" customWidth="1" min="3" max="3"/>
  </cols>
  <sheetData>
    <row r="1">
      <c r="B1" s="4" t="inlineStr">
        <is>
          <t>Exceptions raised during preparation</t>
        </is>
      </c>
    </row>
    <row r="4">
      <c r="A4" s="13" t="inlineStr">
        <is>
          <t>Severity</t>
        </is>
      </c>
      <c r="B4" s="13" t="inlineStr">
        <is>
          <t>Code</t>
        </is>
      </c>
      <c r="C4" s="13" t="inlineStr">
        <is>
          <t>Message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C22"/>
  <sheetViews>
    <sheetView workbookViewId="0">
      <selection activeCell="A1" sqref="A1"/>
    </sheetView>
  </sheetViews>
  <sheetFormatPr baseColWidth="8" defaultRowHeight="15"/>
  <cols>
    <col width="70" customWidth="1" min="2" max="2"/>
  </cols>
  <sheetData>
    <row r="1">
      <c r="B1" s="4" t="inlineStr">
        <is>
          <t>Arithmetic checks (live Excel formulas; every difference should be 0)</t>
        </is>
      </c>
    </row>
    <row r="4">
      <c r="B4" s="13" t="inlineStr">
        <is>
          <t>Check</t>
        </is>
      </c>
      <c r="C4" s="13" t="inlineStr">
        <is>
          <t>Difference</t>
        </is>
      </c>
    </row>
    <row r="5">
      <c r="B5" t="inlineStr">
        <is>
          <t>P&amp;L Total revenue (column C)</t>
        </is>
      </c>
      <c r="C5" s="14">
        <f>ROUND('P&amp;L'!C7-(+'P&amp;L'!C5+'P&amp;L'!C6),2)</f>
        <v/>
      </c>
    </row>
    <row r="6">
      <c r="B6" t="inlineStr">
        <is>
          <t>P&amp;L Total cost of sales (column C)</t>
        </is>
      </c>
      <c r="C6" s="14">
        <f>ROUND('P&amp;L'!C12-(+'P&amp;L'!C9+'P&amp;L'!C10+'P&amp;L'!C11),2)</f>
        <v/>
      </c>
    </row>
    <row r="7">
      <c r="B7" t="inlineStr">
        <is>
          <t>P&amp;L Gross profit (column C)</t>
        </is>
      </c>
      <c r="C7" s="14">
        <f>ROUND('P&amp;L'!C14-(+'P&amp;L'!C7-'P&amp;L'!C12),2)</f>
        <v/>
      </c>
    </row>
    <row r="8">
      <c r="B8" t="inlineStr">
        <is>
          <t>P&amp;L Total operating expenses (column C)</t>
        </is>
      </c>
      <c r="C8" s="14">
        <f>ROUND('P&amp;L'!C25-(+'P&amp;L'!C17+'P&amp;L'!C18+'P&amp;L'!C19+'P&amp;L'!C20+'P&amp;L'!C21+'P&amp;L'!C22+'P&amp;L'!C23+'P&amp;L'!C24),2)</f>
        <v/>
      </c>
    </row>
    <row r="9">
      <c r="B9" t="inlineStr">
        <is>
          <t>P&amp;L Operating profit (EBIT) (column C)</t>
        </is>
      </c>
      <c r="C9" s="14">
        <f>ROUND('P&amp;L'!C27-(+'P&amp;L'!C14+'P&amp;L'!C16-'P&amp;L'!C25),2)</f>
        <v/>
      </c>
    </row>
    <row r="10">
      <c r="B10" t="inlineStr">
        <is>
          <t>P&amp;L Net profit before tax (column C)</t>
        </is>
      </c>
      <c r="C10" s="14">
        <f>ROUND('P&amp;L'!C30-(+'P&amp;L'!C27-'P&amp;L'!C29),2)</f>
        <v/>
      </c>
    </row>
    <row r="11">
      <c r="B11" t="inlineStr">
        <is>
          <t>P&amp;L Total revenue (column H)</t>
        </is>
      </c>
      <c r="C11" s="14">
        <f>ROUND('P&amp;L'!H7-(+'P&amp;L'!H5+'P&amp;L'!H6),2)</f>
        <v/>
      </c>
    </row>
    <row r="12">
      <c r="B12" t="inlineStr">
        <is>
          <t>P&amp;L Total cost of sales (column H)</t>
        </is>
      </c>
      <c r="C12" s="14">
        <f>ROUND('P&amp;L'!H12-(+'P&amp;L'!H9+'P&amp;L'!H10+'P&amp;L'!H11),2)</f>
        <v/>
      </c>
    </row>
    <row r="13">
      <c r="B13" t="inlineStr">
        <is>
          <t>P&amp;L Gross profit (column H)</t>
        </is>
      </c>
      <c r="C13" s="14">
        <f>ROUND('P&amp;L'!H14-(+'P&amp;L'!H7-'P&amp;L'!H12),2)</f>
        <v/>
      </c>
    </row>
    <row r="14">
      <c r="B14" t="inlineStr">
        <is>
          <t>P&amp;L Total operating expenses (column H)</t>
        </is>
      </c>
      <c r="C14" s="14">
        <f>ROUND('P&amp;L'!H25-(+'P&amp;L'!H17+'P&amp;L'!H18+'P&amp;L'!H19+'P&amp;L'!H20+'P&amp;L'!H21+'P&amp;L'!H22+'P&amp;L'!H23+'P&amp;L'!H24),2)</f>
        <v/>
      </c>
    </row>
    <row r="15">
      <c r="B15" t="inlineStr">
        <is>
          <t>P&amp;L Operating profit (EBIT) (column H)</t>
        </is>
      </c>
      <c r="C15" s="14">
        <f>ROUND('P&amp;L'!H27-(+'P&amp;L'!H14+'P&amp;L'!H16-'P&amp;L'!H25),2)</f>
        <v/>
      </c>
    </row>
    <row r="16">
      <c r="B16" t="inlineStr">
        <is>
          <t>P&amp;L Net profit before tax (column H)</t>
        </is>
      </c>
      <c r="C16" s="14">
        <f>ROUND('P&amp;L'!H30-(+'P&amp;L'!H27-'P&amp;L'!H29),2)</f>
        <v/>
      </c>
    </row>
    <row r="17">
      <c r="B17" t="inlineStr">
        <is>
          <t>Balance Sheet Total assets (column C)</t>
        </is>
      </c>
      <c r="C17" s="14">
        <f>ROUND('Balance Sheet'!C10-(+'Balance Sheet'!C5+'Balance Sheet'!C6+'Balance Sheet'!C7+'Balance Sheet'!C8+'Balance Sheet'!C9),2)</f>
        <v/>
      </c>
    </row>
    <row r="18">
      <c r="B18" t="inlineStr">
        <is>
          <t>Balance Sheet Total liabilities (column C)</t>
        </is>
      </c>
      <c r="C18" s="14">
        <f>ROUND('Balance Sheet'!C17-(+'Balance Sheet'!C12+'Balance Sheet'!C13+'Balance Sheet'!C14+'Balance Sheet'!C15+'Balance Sheet'!C16),2)</f>
        <v/>
      </c>
    </row>
    <row r="19">
      <c r="B19" t="inlineStr">
        <is>
          <t>Balance Sheet Net assets (column C)</t>
        </is>
      </c>
      <c r="C19" s="14">
        <f>ROUND('Balance Sheet'!C19-(+'Balance Sheet'!C10-'Balance Sheet'!C17),2)</f>
        <v/>
      </c>
    </row>
    <row r="20">
      <c r="B20" t="inlineStr">
        <is>
          <t>Balance Sheet Total equity (column C)</t>
        </is>
      </c>
      <c r="C20" s="14">
        <f>ROUND('Balance Sheet'!C24-(+'Balance Sheet'!C21+'Balance Sheet'!C22+'Balance Sheet'!C23),2)</f>
        <v/>
      </c>
    </row>
    <row r="21">
      <c r="B21" t="inlineStr">
        <is>
          <t>Balance sheet balances (net assets - equity)</t>
        </is>
      </c>
      <c r="C21">
        <f>ROUND('Balance Sheet'!C19-'Balance Sheet'!C24,2)</f>
        <v/>
      </c>
    </row>
    <row r="22">
      <c r="B22" t="inlineStr">
        <is>
          <t>P&amp;L net profit equals current year earnings (YTD)</t>
        </is>
      </c>
      <c r="C22">
        <f>ROUND('P&amp;L'!H30-'Balance Sheet'!C23,2)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2026-10-11T14:38:38Z</dcterms:created>
  <dcterms:modified xsi:type="dcterms:W3CDTF">2026-10-11T14:38:38Z</dcterms:modified>
</cp:coreProperties>
</file>